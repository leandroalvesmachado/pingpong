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enis_de_mesa_geral\"/>
    </mc:Choice>
  </mc:AlternateContent>
  <bookViews>
    <workbookView xWindow="0" yWindow="105" windowWidth="23955" windowHeight="10035"/>
  </bookViews>
  <sheets>
    <sheet name="Tabela" sheetId="1" r:id="rId1"/>
    <sheet name="atletas" sheetId="13" r:id="rId2"/>
  </sheets>
  <calcPr calcId="162913"/>
</workbook>
</file>

<file path=xl/calcChain.xml><?xml version="1.0" encoding="utf-8"?>
<calcChain xmlns="http://schemas.openxmlformats.org/spreadsheetml/2006/main">
  <c r="C18" i="13" l="1"/>
  <c r="B32" i="1"/>
  <c r="H29" i="1" l="1"/>
  <c r="D34" i="1"/>
  <c r="H32" i="1"/>
  <c r="B30" i="1"/>
  <c r="B31" i="1"/>
  <c r="B29" i="1"/>
  <c r="B24" i="1"/>
  <c r="B25" i="1"/>
  <c r="B23" i="1"/>
  <c r="B18" i="1"/>
  <c r="B19" i="1"/>
  <c r="B17" i="1"/>
  <c r="B12" i="1"/>
  <c r="B13" i="1"/>
  <c r="B11" i="1"/>
  <c r="C4" i="13"/>
  <c r="C5" i="13"/>
  <c r="C6" i="13"/>
  <c r="C7" i="13"/>
  <c r="C8" i="13"/>
  <c r="C9" i="13"/>
  <c r="C10" i="13"/>
  <c r="C11" i="13"/>
  <c r="C12" i="13"/>
  <c r="C13" i="13"/>
  <c r="C14" i="13"/>
  <c r="C15" i="13"/>
  <c r="C16" i="13"/>
  <c r="C17" i="13"/>
  <c r="H12" i="1" l="1"/>
  <c r="J12" i="1" s="1"/>
  <c r="H11" i="1"/>
  <c r="D29" i="1"/>
  <c r="J10" i="1" s="1"/>
  <c r="D31" i="1"/>
  <c r="D33" i="1"/>
  <c r="D23" i="1"/>
  <c r="D25" i="1"/>
  <c r="H24" i="1"/>
  <c r="H23" i="1"/>
  <c r="D11" i="1"/>
  <c r="J7" i="1" s="1"/>
  <c r="D13" i="1"/>
  <c r="D12" i="1"/>
  <c r="H13" i="1"/>
  <c r="D32" i="1"/>
  <c r="J21" i="1" s="1"/>
  <c r="H33" i="1"/>
  <c r="H30" i="1"/>
  <c r="D19" i="1"/>
  <c r="D17" i="1"/>
  <c r="H31" i="1"/>
  <c r="H34" i="1"/>
  <c r="D30" i="1"/>
  <c r="H17" i="1"/>
  <c r="H18" i="1"/>
  <c r="H25" i="1"/>
  <c r="D24" i="1"/>
  <c r="D18" i="1"/>
  <c r="H19" i="1"/>
  <c r="J23" i="1"/>
  <c r="J8" i="1" l="1"/>
  <c r="J18" i="1"/>
  <c r="J15" i="1"/>
  <c r="J22" i="1"/>
  <c r="J17" i="1"/>
  <c r="J19" i="1"/>
  <c r="J20" i="1"/>
  <c r="J13" i="1"/>
  <c r="J9" i="1"/>
  <c r="J14" i="1"/>
  <c r="C3" i="13"/>
  <c r="B7" i="1"/>
  <c r="B6" i="1"/>
  <c r="B5" i="1"/>
  <c r="D5" i="1" l="1"/>
  <c r="D7" i="1"/>
  <c r="H7" i="1"/>
  <c r="D6" i="1"/>
  <c r="H5" i="1"/>
  <c r="H6" i="1"/>
  <c r="J16" i="1" l="1"/>
  <c r="J6" i="1"/>
  <c r="J11" i="1"/>
</calcChain>
</file>

<file path=xl/sharedStrings.xml><?xml version="1.0" encoding="utf-8"?>
<sst xmlns="http://schemas.openxmlformats.org/spreadsheetml/2006/main" count="75" uniqueCount="53">
  <si>
    <t>X</t>
  </si>
  <si>
    <t>GRUPO A</t>
  </si>
  <si>
    <t>GRUPO B</t>
  </si>
  <si>
    <t>GRUPO C</t>
  </si>
  <si>
    <t>GRUPO D</t>
  </si>
  <si>
    <t>Etapa</t>
  </si>
  <si>
    <t>Categoria</t>
  </si>
  <si>
    <t>:</t>
  </si>
  <si>
    <t>Final</t>
  </si>
  <si>
    <t>P</t>
  </si>
  <si>
    <t xml:space="preserve">Betinho </t>
  </si>
  <si>
    <t xml:space="preserve"> Sandro </t>
  </si>
  <si>
    <t xml:space="preserve">Guedes </t>
  </si>
  <si>
    <t>Normando</t>
  </si>
  <si>
    <t xml:space="preserve">Isaac </t>
  </si>
  <si>
    <t xml:space="preserve">Valberto </t>
  </si>
  <si>
    <t>Ricardo</t>
  </si>
  <si>
    <t>Mazim</t>
  </si>
  <si>
    <t xml:space="preserve">Ordem dos Jogos - Fase de Grupos </t>
  </si>
  <si>
    <t xml:space="preserve">Horário Estimado </t>
  </si>
  <si>
    <t xml:space="preserve">Daniel </t>
  </si>
  <si>
    <t>Matheus</t>
  </si>
  <si>
    <t xml:space="preserve">Jonas </t>
  </si>
  <si>
    <t xml:space="preserve">Felipe  </t>
  </si>
  <si>
    <t xml:space="preserve">Rafael </t>
  </si>
  <si>
    <t xml:space="preserve">Davi </t>
  </si>
  <si>
    <t>Rodrigo</t>
  </si>
  <si>
    <t>GRUPO E</t>
  </si>
  <si>
    <t xml:space="preserve">duas mesas - dois jogos simultâneos </t>
  </si>
  <si>
    <t xml:space="preserve">Oitavas </t>
  </si>
  <si>
    <t xml:space="preserve">Quartas </t>
  </si>
  <si>
    <t>1A x jogo O1</t>
  </si>
  <si>
    <t>1B x jogo O2</t>
  </si>
  <si>
    <t>O1</t>
  </si>
  <si>
    <t>O2</t>
  </si>
  <si>
    <t>Q1</t>
  </si>
  <si>
    <t>Q2</t>
  </si>
  <si>
    <t>Q3</t>
  </si>
  <si>
    <t>Q4</t>
  </si>
  <si>
    <t xml:space="preserve">Semifinal </t>
  </si>
  <si>
    <t>S1</t>
  </si>
  <si>
    <t>S2</t>
  </si>
  <si>
    <t>S1 x S2</t>
  </si>
  <si>
    <t xml:space="preserve">Intervalos </t>
  </si>
  <si>
    <t>5 g - 10 classificados</t>
  </si>
  <si>
    <t>Planilha para 16 atletas - 4 grupos de 3 e 1 de 4 (total 27 jogos - 18 grupos 9 elimi)</t>
  </si>
  <si>
    <t>geruso</t>
  </si>
  <si>
    <t>2B x 2E</t>
  </si>
  <si>
    <t>2C x 2D</t>
  </si>
  <si>
    <t>1C x 1D</t>
  </si>
  <si>
    <t>1E x 2A</t>
  </si>
  <si>
    <t>Q1 x Q3</t>
  </si>
  <si>
    <t>Q2 x 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</si>
</sst>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/>
    </xf>
    <xf numFmtId="0" fontId="0" fillId="0" borderId="0" xfId="0" applyFill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0" xfId="0" applyFill="1" applyBorder="1" applyAlignment="1">
      <alignment horizontal="center"/>
    </xf>
    <xf numFmtId="20" fontId="0" fillId="0" borderId="0" xfId="0" applyNumberFormat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20" fontId="0" fillId="0" borderId="0" xfId="0" applyNumberFormat="1" applyFill="1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2"/>
  <sheetViews>
    <sheetView tabSelected="1" zoomScale="69" zoomScaleNormal="69" workbookViewId="0">
      <selection activeCell="T12" sqref="T12"/>
    </sheetView>
  </sheetViews>
  <sheetFormatPr defaultRowHeight="15" x14ac:dyDescent="0.25"/>
  <cols>
    <col min="1" max="1" width="3.7109375" style="1" customWidth="1"/>
    <col min="2" max="2" width="16.28515625" style="1" customWidth="1"/>
    <col min="3" max="3" width="3.7109375" style="1" customWidth="1"/>
    <col min="4" max="4" width="9.140625" style="1" customWidth="1"/>
    <col min="5" max="5" width="3.7109375" style="1" customWidth="1"/>
    <col min="6" max="6" width="2.7109375" style="1" customWidth="1"/>
    <col min="7" max="7" width="3.5703125" style="1" customWidth="1"/>
    <col min="8" max="8" width="8.85546875" style="1" customWidth="1"/>
    <col min="9" max="9" width="6.5703125" style="1" customWidth="1"/>
    <col min="10" max="10" width="22.5703125" style="1" customWidth="1"/>
    <col min="11" max="11" width="13" style="1" customWidth="1"/>
    <col min="12" max="16384" width="9.140625" style="1"/>
  </cols>
  <sheetData>
    <row r="1" spans="1:11" x14ac:dyDescent="0.25">
      <c r="B1" s="1" t="s">
        <v>5</v>
      </c>
      <c r="C1" s="3" t="s">
        <v>7</v>
      </c>
      <c r="H1" s="1" t="s">
        <v>45</v>
      </c>
    </row>
    <row r="2" spans="1:11" x14ac:dyDescent="0.25">
      <c r="B2" s="1" t="s">
        <v>6</v>
      </c>
      <c r="C2" s="3" t="s">
        <v>7</v>
      </c>
      <c r="H2" s="1" t="s">
        <v>44</v>
      </c>
    </row>
    <row r="3" spans="1:11" x14ac:dyDescent="0.25">
      <c r="C3" s="3"/>
      <c r="J3" s="1" t="s">
        <v>28</v>
      </c>
      <c r="K3" s="15" t="s">
        <v>43</v>
      </c>
    </row>
    <row r="4" spans="1:11" x14ac:dyDescent="0.25">
      <c r="B4" s="6" t="s">
        <v>1</v>
      </c>
      <c r="C4" s="7" t="s">
        <v>9</v>
      </c>
      <c r="K4" s="1">
        <v>25</v>
      </c>
    </row>
    <row r="5" spans="1:11" x14ac:dyDescent="0.25">
      <c r="A5" s="5">
        <v>1</v>
      </c>
      <c r="B5" s="5" t="str">
        <f>atletas!B3</f>
        <v>Ricardo</v>
      </c>
      <c r="C5" s="5"/>
      <c r="D5" s="1" t="str">
        <f>B5</f>
        <v>Ricardo</v>
      </c>
      <c r="F5" s="1" t="s">
        <v>0</v>
      </c>
      <c r="H5" s="1" t="str">
        <f>B7</f>
        <v xml:space="preserve">Isaac </v>
      </c>
      <c r="J5" s="1" t="s">
        <v>18</v>
      </c>
      <c r="K5" s="1" t="s">
        <v>19</v>
      </c>
    </row>
    <row r="6" spans="1:11" x14ac:dyDescent="0.25">
      <c r="A6" s="5">
        <v>2</v>
      </c>
      <c r="B6" s="5" t="str">
        <f>atletas!B4</f>
        <v xml:space="preserve">Davi </v>
      </c>
      <c r="C6" s="5"/>
      <c r="D6" s="1" t="str">
        <f>B6</f>
        <v xml:space="preserve">Davi </v>
      </c>
      <c r="F6" s="1" t="s">
        <v>0</v>
      </c>
      <c r="H6" s="1" t="str">
        <f>B7</f>
        <v xml:space="preserve">Isaac </v>
      </c>
      <c r="I6" s="1">
        <v>1</v>
      </c>
      <c r="J6" s="1" t="str">
        <f>CONCATENATE(D5," ",F5," ",H5)</f>
        <v xml:space="preserve">Ricardo X Isaac </v>
      </c>
      <c r="K6" s="9">
        <v>0.33333333333333331</v>
      </c>
    </row>
    <row r="7" spans="1:11" x14ac:dyDescent="0.25">
      <c r="A7" s="5">
        <v>3</v>
      </c>
      <c r="B7" s="5" t="str">
        <f>atletas!B5</f>
        <v xml:space="preserve">Isaac </v>
      </c>
      <c r="C7" s="5"/>
      <c r="D7" s="1" t="str">
        <f>B5</f>
        <v>Ricardo</v>
      </c>
      <c r="F7" s="1" t="s">
        <v>0</v>
      </c>
      <c r="H7" s="1" t="str">
        <f>B6</f>
        <v xml:space="preserve">Davi </v>
      </c>
      <c r="I7" s="1">
        <v>2</v>
      </c>
      <c r="J7" s="1" t="str">
        <f>CONCATENATE(D11," ",F11," ",H11)</f>
        <v>Jonas  X Matheus</v>
      </c>
      <c r="K7" s="9">
        <v>0.33333333333333331</v>
      </c>
    </row>
    <row r="8" spans="1:11" x14ac:dyDescent="0.25">
      <c r="A8" s="4"/>
      <c r="I8" s="1">
        <v>3</v>
      </c>
      <c r="J8" s="1" t="str">
        <f>CONCATENATE(D17," ",F17," ",H17)</f>
        <v xml:space="preserve">Felipe   X Betinho </v>
      </c>
      <c r="K8" s="9">
        <v>0.35069444444444442</v>
      </c>
    </row>
    <row r="9" spans="1:11" x14ac:dyDescent="0.25">
      <c r="A9" s="4"/>
      <c r="I9" s="1">
        <v>4</v>
      </c>
      <c r="J9" s="1" t="str">
        <f>CONCATENATE(D23," ",F23," ",H23)</f>
        <v>Daniel  X Normando</v>
      </c>
      <c r="K9" s="9">
        <v>0.35069444444444442</v>
      </c>
    </row>
    <row r="10" spans="1:11" x14ac:dyDescent="0.25">
      <c r="B10" s="6" t="s">
        <v>2</v>
      </c>
      <c r="C10" s="7" t="s">
        <v>9</v>
      </c>
      <c r="I10" s="1">
        <v>5</v>
      </c>
      <c r="J10" s="1" t="str">
        <f>CONCATENATE(D29," ",F29," ",H29)</f>
        <v xml:space="preserve"> Sandro  X geruso</v>
      </c>
      <c r="K10" s="9">
        <v>0.36805555555555558</v>
      </c>
    </row>
    <row r="11" spans="1:11" x14ac:dyDescent="0.25">
      <c r="A11" s="5">
        <v>4</v>
      </c>
      <c r="B11" s="5" t="str">
        <f>atletas!B6</f>
        <v xml:space="preserve">Jonas </v>
      </c>
      <c r="C11" s="5"/>
      <c r="D11" s="1" t="str">
        <f>B11</f>
        <v xml:space="preserve">Jonas </v>
      </c>
      <c r="F11" s="1" t="s">
        <v>0</v>
      </c>
      <c r="H11" s="1" t="str">
        <f>B13</f>
        <v>Matheus</v>
      </c>
      <c r="I11" s="1">
        <v>6</v>
      </c>
      <c r="J11" s="1" t="str">
        <f>CONCATENATE(D6," ",F6," ",H6)</f>
        <v xml:space="preserve">Davi  X Isaac </v>
      </c>
      <c r="K11" s="9">
        <v>0.36805555555555558</v>
      </c>
    </row>
    <row r="12" spans="1:11" x14ac:dyDescent="0.25">
      <c r="A12" s="5">
        <v>5</v>
      </c>
      <c r="B12" s="5" t="str">
        <f>atletas!B7</f>
        <v>Mazim</v>
      </c>
      <c r="C12" s="5"/>
      <c r="D12" s="1" t="str">
        <f>B12</f>
        <v>Mazim</v>
      </c>
      <c r="F12" s="1" t="s">
        <v>0</v>
      </c>
      <c r="H12" s="1" t="str">
        <f>B13</f>
        <v>Matheus</v>
      </c>
      <c r="I12" s="1">
        <v>7</v>
      </c>
      <c r="J12" s="1" t="str">
        <f>CONCATENATE(D12," ",F12," ",H12)</f>
        <v>Mazim X Matheus</v>
      </c>
      <c r="K12" s="9">
        <v>0.38541666666666669</v>
      </c>
    </row>
    <row r="13" spans="1:11" x14ac:dyDescent="0.25">
      <c r="A13" s="5">
        <v>6</v>
      </c>
      <c r="B13" s="5" t="str">
        <f>atletas!B8</f>
        <v>Matheus</v>
      </c>
      <c r="C13" s="5"/>
      <c r="D13" s="1" t="str">
        <f>B11</f>
        <v xml:space="preserve">Jonas </v>
      </c>
      <c r="F13" s="1" t="s">
        <v>0</v>
      </c>
      <c r="H13" s="1" t="str">
        <f>B12</f>
        <v>Mazim</v>
      </c>
      <c r="I13" s="1">
        <v>8</v>
      </c>
      <c r="J13" s="1" t="str">
        <f>CONCATENATE(D18," ",F18," ",H18)</f>
        <v xml:space="preserve">Valberto  X Betinho </v>
      </c>
      <c r="K13" s="9">
        <v>0.38541666666666669</v>
      </c>
    </row>
    <row r="14" spans="1:11" x14ac:dyDescent="0.25">
      <c r="I14" s="1">
        <v>9</v>
      </c>
      <c r="J14" s="1" t="str">
        <f>CONCATENATE(D24," ",F24," ",H24)</f>
        <v>Guedes  X Normando</v>
      </c>
      <c r="K14" s="9">
        <v>0.40277777777777773</v>
      </c>
    </row>
    <row r="15" spans="1:11" x14ac:dyDescent="0.25">
      <c r="I15" s="1">
        <v>10</v>
      </c>
      <c r="J15" s="1" t="str">
        <f>CONCATENATE(D30," ",F30," ",H30)</f>
        <v>Rafael  X Rodrigo</v>
      </c>
      <c r="K15" s="9">
        <v>0.40277777777777773</v>
      </c>
    </row>
    <row r="16" spans="1:11" x14ac:dyDescent="0.25">
      <c r="B16" s="6" t="s">
        <v>3</v>
      </c>
      <c r="C16" s="7" t="s">
        <v>9</v>
      </c>
      <c r="I16" s="1">
        <v>11</v>
      </c>
      <c r="J16" s="1" t="str">
        <f>CONCATENATE(D7," ",F7," ",H7)</f>
        <v xml:space="preserve">Ricardo X Davi </v>
      </c>
      <c r="K16" s="9">
        <v>0.4201388888888889</v>
      </c>
    </row>
    <row r="17" spans="1:11" x14ac:dyDescent="0.25">
      <c r="A17" s="5">
        <v>7</v>
      </c>
      <c r="B17" s="5" t="str">
        <f>atletas!B9</f>
        <v xml:space="preserve">Felipe  </v>
      </c>
      <c r="C17" s="5"/>
      <c r="D17" s="1" t="str">
        <f>B17</f>
        <v xml:space="preserve">Felipe  </v>
      </c>
      <c r="F17" s="1" t="s">
        <v>0</v>
      </c>
      <c r="H17" s="1" t="str">
        <f>B19</f>
        <v xml:space="preserve">Betinho </v>
      </c>
      <c r="I17" s="1">
        <v>12</v>
      </c>
      <c r="J17" s="1" t="str">
        <f>CONCATENATE(D13," ",F13," ",H13)</f>
        <v>Jonas  X Mazim</v>
      </c>
      <c r="K17" s="9">
        <v>0.4201388888888889</v>
      </c>
    </row>
    <row r="18" spans="1:11" x14ac:dyDescent="0.25">
      <c r="A18" s="5">
        <v>8</v>
      </c>
      <c r="B18" s="5" t="str">
        <f>atletas!B10</f>
        <v xml:space="preserve">Valberto </v>
      </c>
      <c r="C18" s="5"/>
      <c r="D18" s="1" t="str">
        <f>B18</f>
        <v xml:space="preserve">Valberto </v>
      </c>
      <c r="F18" s="1" t="s">
        <v>0</v>
      </c>
      <c r="H18" s="1" t="str">
        <f>B19</f>
        <v xml:space="preserve">Betinho </v>
      </c>
      <c r="I18" s="1">
        <v>13</v>
      </c>
      <c r="J18" s="1" t="str">
        <f>CONCATENATE(D19," ",F19," ",H19)</f>
        <v xml:space="preserve">Felipe   X Valberto </v>
      </c>
      <c r="K18" s="9">
        <v>0.4375</v>
      </c>
    </row>
    <row r="19" spans="1:11" x14ac:dyDescent="0.25">
      <c r="A19" s="5">
        <v>9</v>
      </c>
      <c r="B19" s="5" t="str">
        <f>atletas!B11</f>
        <v xml:space="preserve">Betinho </v>
      </c>
      <c r="C19" s="5"/>
      <c r="D19" s="1" t="str">
        <f>B17</f>
        <v xml:space="preserve">Felipe  </v>
      </c>
      <c r="F19" s="1" t="s">
        <v>0</v>
      </c>
      <c r="H19" s="1" t="str">
        <f>B18</f>
        <v xml:space="preserve">Valberto </v>
      </c>
      <c r="I19" s="1">
        <v>14</v>
      </c>
      <c r="J19" s="13" t="str">
        <f>CONCATENATE(D25," ",F25," ",H25)</f>
        <v xml:space="preserve">Daniel  X Guedes </v>
      </c>
      <c r="K19" s="9">
        <v>0.4375</v>
      </c>
    </row>
    <row r="20" spans="1:11" x14ac:dyDescent="0.25">
      <c r="I20" s="1">
        <v>15</v>
      </c>
      <c r="J20" s="13" t="str">
        <f>CONCATENATE(D31," ",F31," ",H31)</f>
        <v xml:space="preserve"> Sandro  X Rafael </v>
      </c>
      <c r="K20" s="9">
        <v>0.4548611111111111</v>
      </c>
    </row>
    <row r="21" spans="1:11" x14ac:dyDescent="0.25">
      <c r="A21" s="4"/>
      <c r="I21" s="13">
        <v>16</v>
      </c>
      <c r="J21" s="13" t="str">
        <f>CONCATENATE(D32," ",F32," ",H32)</f>
        <v>Rodrigo X geruso</v>
      </c>
      <c r="K21" s="9">
        <v>0.4548611111111111</v>
      </c>
    </row>
    <row r="22" spans="1:11" x14ac:dyDescent="0.25">
      <c r="B22" s="6" t="s">
        <v>4</v>
      </c>
      <c r="C22" s="7" t="s">
        <v>9</v>
      </c>
      <c r="I22" s="13">
        <v>17</v>
      </c>
      <c r="J22" s="13" t="str">
        <f>CONCATENATE(D33," ",F33," ",H33)</f>
        <v xml:space="preserve"> Sandro  X Rodrigo</v>
      </c>
      <c r="K22" s="9">
        <v>0.47222222222222227</v>
      </c>
    </row>
    <row r="23" spans="1:11" x14ac:dyDescent="0.25">
      <c r="A23" s="5">
        <v>10</v>
      </c>
      <c r="B23" s="5" t="str">
        <f>atletas!B12</f>
        <v xml:space="preserve">Daniel </v>
      </c>
      <c r="C23" s="5"/>
      <c r="D23" s="1" t="str">
        <f>B23</f>
        <v xml:space="preserve">Daniel </v>
      </c>
      <c r="F23" s="1" t="s">
        <v>0</v>
      </c>
      <c r="H23" s="1" t="str">
        <f>B25</f>
        <v>Normando</v>
      </c>
      <c r="I23" s="13">
        <v>18</v>
      </c>
      <c r="J23" s="13" t="str">
        <f>CONCATENATE(D34," ",F34," ",H34)</f>
        <v xml:space="preserve">geruso X Rafael </v>
      </c>
      <c r="K23" s="9">
        <v>0.47222222222222227</v>
      </c>
    </row>
    <row r="24" spans="1:11" x14ac:dyDescent="0.25">
      <c r="A24" s="5">
        <v>11</v>
      </c>
      <c r="B24" s="5" t="str">
        <f>atletas!B13</f>
        <v xml:space="preserve">Guedes </v>
      </c>
      <c r="C24" s="5"/>
      <c r="D24" s="1" t="str">
        <f>B24</f>
        <v xml:space="preserve">Guedes </v>
      </c>
      <c r="F24" s="1" t="s">
        <v>0</v>
      </c>
      <c r="H24" s="1" t="str">
        <f>B25</f>
        <v>Normando</v>
      </c>
    </row>
    <row r="25" spans="1:11" x14ac:dyDescent="0.25">
      <c r="A25" s="5">
        <v>12</v>
      </c>
      <c r="B25" s="5" t="str">
        <f>atletas!B14</f>
        <v>Normando</v>
      </c>
      <c r="C25" s="5"/>
      <c r="D25" s="1" t="str">
        <f>B23</f>
        <v xml:space="preserve">Daniel </v>
      </c>
      <c r="F25" s="1" t="s">
        <v>0</v>
      </c>
      <c r="H25" s="1" t="str">
        <f>B24</f>
        <v xml:space="preserve">Guedes </v>
      </c>
    </row>
    <row r="26" spans="1:11" x14ac:dyDescent="0.25">
      <c r="A26" s="4"/>
      <c r="B26" s="4"/>
      <c r="C26" s="4"/>
    </row>
    <row r="27" spans="1:11" x14ac:dyDescent="0.25">
      <c r="J27" s="1" t="s">
        <v>29</v>
      </c>
      <c r="K27" s="9"/>
    </row>
    <row r="28" spans="1:11" x14ac:dyDescent="0.25">
      <c r="B28" s="6" t="s">
        <v>27</v>
      </c>
      <c r="C28" s="7" t="s">
        <v>9</v>
      </c>
      <c r="I28" s="1" t="s">
        <v>33</v>
      </c>
      <c r="J28" s="1" t="s">
        <v>47</v>
      </c>
      <c r="K28" s="9">
        <v>0.48958333333333331</v>
      </c>
    </row>
    <row r="29" spans="1:11" s="4" customFormat="1" x14ac:dyDescent="0.25">
      <c r="A29" s="5">
        <v>13</v>
      </c>
      <c r="B29" s="5" t="str">
        <f>atletas!B15</f>
        <v xml:space="preserve"> Sandro </v>
      </c>
      <c r="C29" s="5"/>
      <c r="D29" s="1" t="str">
        <f>B29</f>
        <v xml:space="preserve"> Sandro </v>
      </c>
      <c r="E29" s="1"/>
      <c r="F29" s="1" t="s">
        <v>0</v>
      </c>
      <c r="G29" s="1"/>
      <c r="H29" s="1" t="str">
        <f>B32</f>
        <v>geruso</v>
      </c>
      <c r="I29" s="1" t="s">
        <v>34</v>
      </c>
      <c r="J29" s="1" t="s">
        <v>48</v>
      </c>
      <c r="K29" s="9">
        <v>0.48958333333333331</v>
      </c>
    </row>
    <row r="30" spans="1:11" s="4" customFormat="1" x14ac:dyDescent="0.25">
      <c r="A30" s="5">
        <v>14</v>
      </c>
      <c r="B30" s="5" t="str">
        <f>atletas!B16</f>
        <v xml:space="preserve">Rafael </v>
      </c>
      <c r="C30" s="5"/>
      <c r="D30" s="1" t="str">
        <f>B30</f>
        <v xml:space="preserve">Rafael </v>
      </c>
      <c r="E30" s="1"/>
      <c r="F30" s="1" t="s">
        <v>0</v>
      </c>
      <c r="G30" s="1"/>
      <c r="H30" s="1" t="str">
        <f>B31</f>
        <v>Rodrigo</v>
      </c>
      <c r="I30" s="1"/>
      <c r="J30" s="1"/>
      <c r="K30" s="8"/>
    </row>
    <row r="31" spans="1:11" s="4" customFormat="1" x14ac:dyDescent="0.25">
      <c r="A31" s="10">
        <v>15</v>
      </c>
      <c r="B31" s="5" t="str">
        <f>atletas!B17</f>
        <v>Rodrigo</v>
      </c>
      <c r="C31" s="10"/>
      <c r="D31" s="1" t="str">
        <f>B29</f>
        <v xml:space="preserve"> Sandro </v>
      </c>
      <c r="E31" s="1"/>
      <c r="F31" s="1" t="s">
        <v>0</v>
      </c>
      <c r="G31" s="1"/>
      <c r="H31" s="1" t="str">
        <f>B30</f>
        <v xml:space="preserve">Rafael </v>
      </c>
      <c r="I31" s="9"/>
      <c r="J31" s="8"/>
      <c r="K31" s="8"/>
    </row>
    <row r="32" spans="1:11" s="4" customFormat="1" x14ac:dyDescent="0.25">
      <c r="A32" s="10">
        <v>16</v>
      </c>
      <c r="B32" s="5" t="str">
        <f>atletas!B18</f>
        <v>geruso</v>
      </c>
      <c r="C32" s="10"/>
      <c r="D32" s="13" t="str">
        <f>B31</f>
        <v>Rodrigo</v>
      </c>
      <c r="E32" s="13"/>
      <c r="F32" s="13" t="s">
        <v>0</v>
      </c>
      <c r="G32" s="13"/>
      <c r="H32" s="13" t="str">
        <f>B32</f>
        <v>geruso</v>
      </c>
      <c r="J32" s="1" t="s">
        <v>30</v>
      </c>
    </row>
    <row r="33" spans="1:11" s="4" customFormat="1" x14ac:dyDescent="0.25">
      <c r="A33" s="11"/>
      <c r="B33" s="11"/>
      <c r="C33" s="11"/>
      <c r="D33" s="13" t="str">
        <f>B29</f>
        <v xml:space="preserve"> Sandro </v>
      </c>
      <c r="E33" s="13"/>
      <c r="F33" s="13" t="s">
        <v>0</v>
      </c>
      <c r="G33" s="13"/>
      <c r="H33" s="13" t="str">
        <f>B31</f>
        <v>Rodrigo</v>
      </c>
      <c r="I33" s="9" t="s">
        <v>35</v>
      </c>
      <c r="J33" s="1" t="s">
        <v>31</v>
      </c>
      <c r="K33" s="12">
        <v>0.50694444444444442</v>
      </c>
    </row>
    <row r="34" spans="1:11" s="4" customFormat="1" x14ac:dyDescent="0.25">
      <c r="B34" s="14"/>
      <c r="C34" s="14"/>
      <c r="D34" s="13" t="str">
        <f t="shared" ref="D34" si="0">B32</f>
        <v>geruso</v>
      </c>
      <c r="E34" s="13"/>
      <c r="F34" s="13" t="s">
        <v>0</v>
      </c>
      <c r="G34" s="13"/>
      <c r="H34" s="13" t="str">
        <f>B30</f>
        <v xml:space="preserve">Rafael </v>
      </c>
      <c r="I34" s="9" t="s">
        <v>36</v>
      </c>
      <c r="J34" s="1" t="s">
        <v>32</v>
      </c>
      <c r="K34" s="12">
        <v>0.50694444444444442</v>
      </c>
    </row>
    <row r="35" spans="1:11" s="4" customFormat="1" x14ac:dyDescent="0.25">
      <c r="I35" s="9" t="s">
        <v>37</v>
      </c>
      <c r="J35" s="1" t="s">
        <v>49</v>
      </c>
      <c r="K35" s="12">
        <v>0.52430555555555558</v>
      </c>
    </row>
    <row r="36" spans="1:11" s="4" customFormat="1" x14ac:dyDescent="0.25">
      <c r="I36" s="9" t="s">
        <v>38</v>
      </c>
      <c r="J36" s="4" t="s">
        <v>50</v>
      </c>
      <c r="K36" s="12">
        <v>0.52430555555555558</v>
      </c>
    </row>
    <row r="37" spans="1:11" s="4" customFormat="1" x14ac:dyDescent="0.25">
      <c r="I37" s="1"/>
      <c r="J37" s="8"/>
      <c r="K37" s="8"/>
    </row>
    <row r="38" spans="1:11" s="4" customFormat="1" x14ac:dyDescent="0.25">
      <c r="J38" s="1" t="s">
        <v>39</v>
      </c>
    </row>
    <row r="39" spans="1:11" s="4" customFormat="1" x14ac:dyDescent="0.25">
      <c r="A39" s="1"/>
      <c r="B39" s="1"/>
      <c r="C39" s="1"/>
      <c r="D39" s="1"/>
      <c r="E39" s="1"/>
      <c r="F39" s="1"/>
      <c r="G39" s="1"/>
      <c r="H39" s="1"/>
      <c r="I39" s="1" t="s">
        <v>40</v>
      </c>
      <c r="J39" s="1" t="s">
        <v>51</v>
      </c>
      <c r="K39" s="12">
        <v>0.54166666666666663</v>
      </c>
    </row>
    <row r="40" spans="1:11" s="4" customFormat="1" x14ac:dyDescent="0.25">
      <c r="A40" s="1"/>
      <c r="B40" s="1"/>
      <c r="C40" s="1"/>
      <c r="D40" s="1"/>
      <c r="E40" s="1"/>
      <c r="F40" s="1"/>
      <c r="G40" s="1"/>
      <c r="H40" s="1"/>
      <c r="I40" s="1" t="s">
        <v>41</v>
      </c>
      <c r="J40" s="1" t="s">
        <v>52</v>
      </c>
      <c r="K40" s="12">
        <v>0.54166666666666663</v>
      </c>
    </row>
    <row r="41" spans="1:11" s="4" customFormat="1" x14ac:dyDescent="0.25">
      <c r="I41" s="8"/>
      <c r="J41" s="8"/>
      <c r="K41" s="8"/>
    </row>
    <row r="42" spans="1:11" s="4" customFormat="1" x14ac:dyDescent="0.25">
      <c r="I42" s="8"/>
      <c r="J42" s="8" t="s">
        <v>8</v>
      </c>
    </row>
    <row r="43" spans="1:11" s="4" customFormat="1" x14ac:dyDescent="0.25">
      <c r="I43" s="8"/>
      <c r="J43" s="8" t="s">
        <v>42</v>
      </c>
      <c r="K43" s="12">
        <v>0.55902777777777779</v>
      </c>
    </row>
    <row r="44" spans="1:11" s="4" customFormat="1" x14ac:dyDescent="0.25">
      <c r="I44" s="8"/>
      <c r="J44" s="8"/>
      <c r="K44" s="8"/>
    </row>
    <row r="45" spans="1:11" s="4" customFormat="1" x14ac:dyDescent="0.25">
      <c r="I45" s="8"/>
      <c r="J45" s="8"/>
      <c r="K45" s="8"/>
    </row>
    <row r="46" spans="1:11" s="4" customFormat="1" x14ac:dyDescent="0.25">
      <c r="I46" s="8"/>
      <c r="J46" s="8"/>
      <c r="K46" s="8"/>
    </row>
    <row r="47" spans="1:11" s="4" customFormat="1" x14ac:dyDescent="0.25">
      <c r="I47" s="8"/>
      <c r="J47" s="2"/>
      <c r="K47" s="8"/>
    </row>
    <row r="48" spans="1:11" s="4" customFormat="1" x14ac:dyDescent="0.25">
      <c r="I48" s="8"/>
      <c r="J48" s="2"/>
      <c r="K48" s="8"/>
    </row>
    <row r="49" spans="9:11" s="4" customFormat="1" x14ac:dyDescent="0.25">
      <c r="I49" s="2"/>
      <c r="J49" s="2"/>
      <c r="K49" s="8"/>
    </row>
    <row r="50" spans="9:11" s="4" customFormat="1" x14ac:dyDescent="0.25">
      <c r="I50" s="2"/>
      <c r="J50" s="2"/>
      <c r="K50" s="8"/>
    </row>
    <row r="51" spans="9:11" s="4" customFormat="1" x14ac:dyDescent="0.25">
      <c r="I51" s="2"/>
      <c r="J51" s="2"/>
      <c r="K51" s="2"/>
    </row>
    <row r="52" spans="9:11" s="4" customFormat="1" x14ac:dyDescent="0.25">
      <c r="I52" s="2"/>
      <c r="J52" s="2"/>
      <c r="K52" s="2"/>
    </row>
  </sheetData>
  <pageMargins left="0.19685039370078741" right="0" top="0.19685039370078741" bottom="0.19685039370078741" header="0.31496062992125984" footer="0.31496062992125984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18"/>
  <sheetViews>
    <sheetView workbookViewId="0">
      <selection activeCell="D18" sqref="D18"/>
    </sheetView>
  </sheetViews>
  <sheetFormatPr defaultRowHeight="15" x14ac:dyDescent="0.25"/>
  <cols>
    <col min="2" max="2" width="13.7109375" customWidth="1"/>
    <col min="3" max="3" width="14.140625" customWidth="1"/>
  </cols>
  <sheetData>
    <row r="3" spans="1:3" x14ac:dyDescent="0.25">
      <c r="A3">
        <v>1</v>
      </c>
      <c r="B3" t="s">
        <v>16</v>
      </c>
      <c r="C3">
        <f t="shared" ref="C3:C18" ca="1" si="0">RAND()</f>
        <v>0.20862805447274602</v>
      </c>
    </row>
    <row r="4" spans="1:3" x14ac:dyDescent="0.25">
      <c r="A4">
        <v>2</v>
      </c>
      <c r="B4" t="s">
        <v>25</v>
      </c>
      <c r="C4">
        <f t="shared" ca="1" si="0"/>
        <v>0.5381247117389808</v>
      </c>
    </row>
    <row r="5" spans="1:3" x14ac:dyDescent="0.25">
      <c r="A5">
        <v>3</v>
      </c>
      <c r="B5" t="s">
        <v>14</v>
      </c>
      <c r="C5">
        <f t="shared" ca="1" si="0"/>
        <v>0.84714074491341229</v>
      </c>
    </row>
    <row r="6" spans="1:3" x14ac:dyDescent="0.25">
      <c r="A6">
        <v>4</v>
      </c>
      <c r="B6" t="s">
        <v>22</v>
      </c>
      <c r="C6">
        <f t="shared" ca="1" si="0"/>
        <v>0.21883815416558239</v>
      </c>
    </row>
    <row r="7" spans="1:3" x14ac:dyDescent="0.25">
      <c r="A7">
        <v>5</v>
      </c>
      <c r="B7" t="s">
        <v>17</v>
      </c>
      <c r="C7">
        <f t="shared" ca="1" si="0"/>
        <v>9.3868845012378244E-2</v>
      </c>
    </row>
    <row r="8" spans="1:3" x14ac:dyDescent="0.25">
      <c r="A8">
        <v>6</v>
      </c>
      <c r="B8" t="s">
        <v>21</v>
      </c>
      <c r="C8">
        <f t="shared" ca="1" si="0"/>
        <v>0.86883172055214708</v>
      </c>
    </row>
    <row r="9" spans="1:3" x14ac:dyDescent="0.25">
      <c r="A9">
        <v>7</v>
      </c>
      <c r="B9" t="s">
        <v>23</v>
      </c>
      <c r="C9">
        <f t="shared" ca="1" si="0"/>
        <v>0.88648048683572711</v>
      </c>
    </row>
    <row r="10" spans="1:3" x14ac:dyDescent="0.25">
      <c r="A10">
        <v>8</v>
      </c>
      <c r="B10" t="s">
        <v>15</v>
      </c>
      <c r="C10">
        <f t="shared" ca="1" si="0"/>
        <v>8.6552795870113219E-2</v>
      </c>
    </row>
    <row r="11" spans="1:3" x14ac:dyDescent="0.25">
      <c r="A11">
        <v>9</v>
      </c>
      <c r="B11" t="s">
        <v>10</v>
      </c>
      <c r="C11">
        <f t="shared" ca="1" si="0"/>
        <v>0.4226969498994263</v>
      </c>
    </row>
    <row r="12" spans="1:3" x14ac:dyDescent="0.25">
      <c r="A12">
        <v>10</v>
      </c>
      <c r="B12" t="s">
        <v>20</v>
      </c>
      <c r="C12">
        <f t="shared" ca="1" si="0"/>
        <v>0.38899697778177866</v>
      </c>
    </row>
    <row r="13" spans="1:3" x14ac:dyDescent="0.25">
      <c r="A13">
        <v>11</v>
      </c>
      <c r="B13" t="s">
        <v>12</v>
      </c>
      <c r="C13">
        <f t="shared" ca="1" si="0"/>
        <v>0.62198992822359733</v>
      </c>
    </row>
    <row r="14" spans="1:3" x14ac:dyDescent="0.25">
      <c r="A14">
        <v>12</v>
      </c>
      <c r="B14" t="s">
        <v>13</v>
      </c>
      <c r="C14">
        <f t="shared" ca="1" si="0"/>
        <v>0.97857211945944123</v>
      </c>
    </row>
    <row r="15" spans="1:3" x14ac:dyDescent="0.25">
      <c r="A15">
        <v>13</v>
      </c>
      <c r="B15" t="s">
        <v>11</v>
      </c>
      <c r="C15">
        <f t="shared" ca="1" si="0"/>
        <v>0.46472213844248422</v>
      </c>
    </row>
    <row r="16" spans="1:3" x14ac:dyDescent="0.25">
      <c r="A16">
        <v>14</v>
      </c>
      <c r="B16" t="s">
        <v>24</v>
      </c>
      <c r="C16">
        <f t="shared" ca="1" si="0"/>
        <v>0.49840028735085318</v>
      </c>
    </row>
    <row r="17" spans="1:3" x14ac:dyDescent="0.25">
      <c r="A17">
        <v>15</v>
      </c>
      <c r="B17" t="s">
        <v>26</v>
      </c>
      <c r="C17">
        <f t="shared" ca="1" si="0"/>
        <v>0.81637819171856663</v>
      </c>
    </row>
    <row r="18" spans="1:3" x14ac:dyDescent="0.25">
      <c r="A18">
        <v>16</v>
      </c>
      <c r="B18" t="s">
        <v>46</v>
      </c>
      <c r="C18">
        <f t="shared" ca="1" si="0"/>
        <v>0.23827989009624273</v>
      </c>
    </row>
  </sheetData>
  <sortState ref="B3:C18">
    <sortCondition ref="C3"/>
  </sortState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Tabela</vt:lpstr>
      <vt:lpstr>atletas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nakata</dc:creator>
  <cp:lastModifiedBy>USUARIO</cp:lastModifiedBy>
  <cp:lastPrinted>2025-07-17T13:17:28Z</cp:lastPrinted>
  <dcterms:created xsi:type="dcterms:W3CDTF">2018-08-18T00:15:34Z</dcterms:created>
  <dcterms:modified xsi:type="dcterms:W3CDTF">2025-07-17T13:18:08Z</dcterms:modified>
</cp:coreProperties>
</file>